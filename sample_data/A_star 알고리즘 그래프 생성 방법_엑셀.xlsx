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ONG_2027Prg\RBTSW_Results\"/>
    </mc:Choice>
  </mc:AlternateContent>
  <xr:revisionPtr revIDLastSave="0" documentId="13_ncr:1_{016039A2-65AA-436F-8882-51D37C61B6F3}" xr6:coauthVersionLast="47" xr6:coauthVersionMax="47" xr10:uidLastSave="{00000000-0000-0000-0000-000000000000}"/>
  <bookViews>
    <workbookView xWindow="-72120" yWindow="-1425" windowWidth="29040" windowHeight="15720" activeTab="2" xr2:uid="{2772CCC8-96B9-4784-A676-3DA2DB493FDA}"/>
  </bookViews>
  <sheets>
    <sheet name="Astar_path" sheetId="4" r:id="rId1"/>
    <sheet name="Astar_path (3)" sheetId="5" r:id="rId2"/>
    <sheet name="Astar_grid (2)" sheetId="3" r:id="rId3"/>
    <sheet name="Sheet1" sheetId="1" r:id="rId4"/>
  </sheets>
  <definedNames>
    <definedName name="ExternalData_2" localSheetId="2" hidden="1">'Astar_grid (2)'!$A$1:$H$8</definedName>
    <definedName name="ExternalData_3" localSheetId="2" hidden="1">'Astar_grid (2)'!$A$12:$D$20</definedName>
    <definedName name="ExternalData_3" localSheetId="0" hidden="1">Astar_path!$A$1:$D$7</definedName>
    <definedName name="ExternalData_4" localSheetId="1" hidden="1">'Astar_path (3)'!$A$1:$D$9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3" l="1" a="1"/>
  <c r="K5" i="3" a="1"/>
  <c r="J7" i="3" a="1"/>
  <c r="K7" i="3" a="1"/>
  <c r="J9" i="3" a="1"/>
  <c r="K9" i="3" a="1"/>
  <c r="J10" i="3" a="1"/>
  <c r="K10" i="3" a="1"/>
  <c r="J12" i="3" a="1"/>
  <c r="K12" i="3" a="1"/>
  <c r="J14" i="3" a="1"/>
  <c r="K14" i="3" a="1"/>
  <c r="J21" i="3" a="1"/>
  <c r="K21" i="3" a="1"/>
  <c r="J24" i="3" a="1"/>
  <c r="K24" i="3" a="1"/>
  <c r="J27" i="3" a="1"/>
  <c r="K27" i="3" a="1"/>
  <c r="J31" i="3" a="1"/>
  <c r="K31" i="3" a="1"/>
  <c r="J32" i="3" a="1"/>
  <c r="K32" i="3" a="1"/>
  <c r="J34" i="3" a="1"/>
  <c r="K34" i="3" a="1"/>
  <c r="J35" i="3" a="1"/>
  <c r="K35" i="3" a="1"/>
  <c r="J38" i="3" a="1"/>
  <c r="K38" i="3" a="1"/>
  <c r="J47" i="3" a="1"/>
  <c r="K47" i="3" a="1"/>
  <c r="J49" i="3" a="1"/>
  <c r="K49" i="3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2D871E-2B1D-4F3E-9042-634EE2CCA08F}" keepAlive="1" name="쿼리 - Astar_grid" description="통합 문서의 'Astar_grid' 쿼리에 대한 연결입니다." type="5" refreshedVersion="0" background="1">
    <dbPr connection="Provider=Microsoft.Mashup.OleDb.1;Data Source=$Workbook$;Location=Astar_grid;Extended Properties=&quot;&quot;" command="SELECT * FROM [Astar_grid]"/>
  </connection>
  <connection id="2" xr16:uid="{7F9B12D9-5812-4FFE-8092-A04BCCE5EFF1}" keepAlive="1" name="쿼리 - Astar_grid (2)" description="통합 문서의 'Astar_grid (2)' 쿼리에 대한 연결입니다." type="5" refreshedVersion="8" background="1" saveData="1">
    <dbPr connection="Provider=Microsoft.Mashup.OleDb.1;Data Source=$Workbook$;Location=&quot;Astar_grid (2)&quot;;Extended Properties=&quot;&quot;" command="SELECT * FROM [Astar_grid (2)]"/>
  </connection>
  <connection id="3" xr16:uid="{011D2FE3-A45B-4A32-89E9-D13A88143B46}" keepAlive="1" name="쿼리 - Astar_path" description="통합 문서의 'Astar_path' 쿼리에 대한 연결입니다." type="5" refreshedVersion="8" background="1" saveData="1">
    <dbPr connection="Provider=Microsoft.Mashup.OleDb.1;Data Source=$Workbook$;Location=Astar_path;Extended Properties=&quot;&quot;" command="SELECT * FROM [Astar_path]"/>
  </connection>
  <connection id="4" xr16:uid="{C7CDC115-CF53-4033-A8D5-557806C2C585}" keepAlive="1" name="쿼리 - Astar_path (2)" description="통합 문서의 'Astar_path (2)' 쿼리에 대한 연결입니다." type="5" refreshedVersion="8" background="1" saveData="1">
    <dbPr connection="Provider=Microsoft.Mashup.OleDb.1;Data Source=$Workbook$;Location=&quot;Astar_path (2)&quot;;Extended Properties=&quot;&quot;" command="SELECT * FROM [Astar_path (2)]"/>
  </connection>
  <connection id="5" xr16:uid="{97B2C37F-E353-4F89-ADD2-D5AD352D6FEE}" keepAlive="1" name="쿼리 - Astar_path (3)" description="통합 문서의 'Astar_path (3)' 쿼리에 대한 연결입니다." type="5" refreshedVersion="8" background="1" saveData="1">
    <dbPr connection="Provider=Microsoft.Mashup.OleDb.1;Data Source=$Workbook$;Location=&quot;Astar_path (3)&quot;;Extended Properties=&quot;&quot;" command="SELECT * FROM [Astar_path (3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<sst xmlns="http://schemas.openxmlformats.org/spreadsheetml/2006/main" count="30" uniqueCount="16">
  <si>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</si>
  <si>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</si>
  <si>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</si>
  <si>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</si>
  <si>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</si>
  <si>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</si>
  <si>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</si>
  <si>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</si>
  <si>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/>
  </si>
  <si>
    <t>Step</t>
  </si>
  <si>
    <t>행</t>
  </si>
  <si>
    <t>열</t>
  </si>
  <si>
    <t>누적거리</t>
  </si>
  <si>
    <t>block</t>
    <phoneticPr fontId="1" type="noConversion"/>
  </si>
  <si>
    <t>열</t>
    <phoneticPr fontId="1" type="noConversion"/>
  </si>
  <si>
    <t>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</si>
</sst>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0715223097112861E-2"/>
          <c:y val="6.363333333333332E-2"/>
          <c:w val="0.91142196731581393"/>
          <c:h val="0.85903910761154856"/>
        </c:manualLayout>
      </c:layout>
      <c:scatterChart>
        <c:scatterStyle val="lineMarker"/>
        <c:varyColors val="0"/>
        <c:ser>
          <c:idx val="0"/>
          <c:order val="0"/>
          <c:tx>
            <c:v>Path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'Astar_grid (2)'!$C$13:$C$20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</c:numCache>
            </c:numRef>
          </c:xVal>
          <c:yVal>
            <c:numRef>
              <c:f>'Astar_grid (2)'!$B$13:$B$20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81-4869-B798-74845A70D08B}"/>
            </c:ext>
          </c:extLst>
        </c:ser>
        <c:ser>
          <c:idx val="1"/>
          <c:order val="1"/>
          <c:tx>
            <c:v>Block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37"/>
            <c:spPr>
              <a:solidFill>
                <a:schemeClr val="tx1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'Astar_grid (2)'!$J$2:$J$50</c:f>
              <c:numCache>
                <c:formatCode>General</c:formatCode>
                <c:ptCount val="49"/>
                <c:pt idx="3">
                  <c:v>3</c:v>
                </c:pt>
                <c:pt idx="5">
                  <c:v>5</c:v>
                </c:pt>
                <c:pt idx="7">
                  <c:v>0</c:v>
                </c:pt>
                <c:pt idx="8">
                  <c:v>1</c:v>
                </c:pt>
                <c:pt idx="10">
                  <c:v>3</c:v>
                </c:pt>
                <c:pt idx="12">
                  <c:v>5</c:v>
                </c:pt>
                <c:pt idx="19">
                  <c:v>5</c:v>
                </c:pt>
                <c:pt idx="22">
                  <c:v>1</c:v>
                </c:pt>
                <c:pt idx="25">
                  <c:v>4</c:v>
                </c:pt>
                <c:pt idx="29">
                  <c:v>1</c:v>
                </c:pt>
                <c:pt idx="30">
                  <c:v>2</c:v>
                </c:pt>
                <c:pt idx="32">
                  <c:v>4</c:v>
                </c:pt>
                <c:pt idx="33">
                  <c:v>5</c:v>
                </c:pt>
                <c:pt idx="36">
                  <c:v>1</c:v>
                </c:pt>
                <c:pt idx="45">
                  <c:v>3</c:v>
                </c:pt>
                <c:pt idx="47">
                  <c:v>5</c:v>
                </c:pt>
              </c:numCache>
            </c:numRef>
          </c:xVal>
          <c:yVal>
            <c:numRef>
              <c:f>'Astar_grid (2)'!$K$2:$K$50</c:f>
              <c:numCache>
                <c:formatCode>General</c:formatCode>
                <c:ptCount val="49"/>
                <c:pt idx="3">
                  <c:v>0</c:v>
                </c:pt>
                <c:pt idx="5">
                  <c:v>0</c:v>
                </c:pt>
                <c:pt idx="7">
                  <c:v>1</c:v>
                </c:pt>
                <c:pt idx="8">
                  <c:v>1</c:v>
                </c:pt>
                <c:pt idx="10">
                  <c:v>1</c:v>
                </c:pt>
                <c:pt idx="12">
                  <c:v>1</c:v>
                </c:pt>
                <c:pt idx="19">
                  <c:v>2</c:v>
                </c:pt>
                <c:pt idx="22">
                  <c:v>3</c:v>
                </c:pt>
                <c:pt idx="25">
                  <c:v>3</c:v>
                </c:pt>
                <c:pt idx="29">
                  <c:v>4</c:v>
                </c:pt>
                <c:pt idx="30">
                  <c:v>4</c:v>
                </c:pt>
                <c:pt idx="32">
                  <c:v>4</c:v>
                </c:pt>
                <c:pt idx="33">
                  <c:v>4</c:v>
                </c:pt>
                <c:pt idx="36">
                  <c:v>5</c:v>
                </c:pt>
                <c:pt idx="45">
                  <c:v>6</c:v>
                </c:pt>
                <c:pt idx="47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D81-4869-B798-74845A70D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127823"/>
        <c:axId val="230292560"/>
      </c:scatterChart>
      <c:valAx>
        <c:axId val="433127823"/>
        <c:scaling>
          <c:orientation val="minMax"/>
          <c:max val="6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0292560"/>
        <c:crosses val="autoZero"/>
        <c:crossBetween val="midCat"/>
        <c:majorUnit val="0.5"/>
      </c:valAx>
      <c:valAx>
        <c:axId val="230292560"/>
        <c:scaling>
          <c:orientation val="minMax"/>
          <c:max val="7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3127823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914260717410324E-2"/>
          <c:y val="0.17171296296296296"/>
          <c:w val="0.71197462817147861"/>
          <c:h val="0.74403579760863225"/>
        </c:manualLayout>
      </c:layout>
      <c:scatterChart>
        <c:scatterStyle val="lineMarker"/>
        <c:varyColors val="0"/>
        <c:ser>
          <c:idx val="0"/>
          <c:order val="0"/>
          <c:tx>
            <c:v>Block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41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'Astar_grid (2)'!$F$13:$F$27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</c:numCache>
            </c:numRef>
          </c:xVal>
          <c:yVal>
            <c:numRef>
              <c:f>'Astar_grid (2)'!$G$13:$G$27</c:f>
              <c:numCache>
                <c:formatCode>General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0</c:v>
                </c:pt>
                <c:pt idx="6">
                  <c:v>1</c:v>
                </c:pt>
                <c:pt idx="7">
                  <c:v>6</c:v>
                </c:pt>
                <c:pt idx="8">
                  <c:v>3</c:v>
                </c:pt>
                <c:pt idx="9">
                  <c:v>4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4</c:v>
                </c:pt>
                <c:pt idx="14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181-47CB-9D0F-A25B0607F63B}"/>
            </c:ext>
          </c:extLst>
        </c:ser>
        <c:ser>
          <c:idx val="1"/>
          <c:order val="1"/>
          <c:tx>
            <c:v>Path</c:v>
          </c:tx>
          <c:spPr>
            <a:ln w="22225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'Astar_grid (2)'!$C$13:$C$20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</c:numCache>
            </c:numRef>
          </c:xVal>
          <c:yVal>
            <c:numRef>
              <c:f>'Astar_grid (2)'!$B$13:$B$20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181-47CB-9D0F-A25B0607F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958752"/>
        <c:axId val="230226800"/>
      </c:scatterChart>
      <c:valAx>
        <c:axId val="24295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0226800"/>
        <c:crosses val="autoZero"/>
        <c:crossBetween val="midCat"/>
      </c:valAx>
      <c:valAx>
        <c:axId val="2302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42958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276225</xdr:colOff>
      <xdr:row>5</xdr:row>
      <xdr:rowOff>190500</xdr:rowOff>
    </xdr:from>
    <xdr:to>
      <xdr:col>24</xdr:col>
      <xdr:colOff>104775</xdr:colOff>
      <xdr:row>24</xdr:row>
      <xdr:rowOff>152400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47AA860-D0B7-1A4A-53B9-CC64B81627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219075</xdr:colOff>
      <xdr:row>25</xdr:row>
      <xdr:rowOff>66674</xdr:rowOff>
    </xdr:from>
    <xdr:to>
      <xdr:col>24</xdr:col>
      <xdr:colOff>28575</xdr:colOff>
      <xdr:row>49</xdr:row>
      <xdr:rowOff>95249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84D7CE21-D72C-E1D1-CE0E-EC962A41AA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EE527198-EE46-4F5E-B840-67F5A4C886FF}" autoFormatId="16" applyNumberFormats="0" applyBorderFormats="0" applyFontFormats="0" applyPatternFormats="0" applyAlignmentFormats="0" applyWidthHeightFormats="0">
  <queryTableRefresh nextId="5">
    <queryTableFields count="4">
      <queryTableField id="1" name="Step" tableColumnId="1"/>
      <queryTableField id="2" name="행" tableColumnId="2"/>
      <queryTableField id="3" name="열" tableColumnId="3"/>
      <queryTableField id="4" name="누적거리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4B9A9B49-F205-4C4F-AECC-C95976CCD1F7}" autoFormatId="16" applyNumberFormats="0" applyBorderFormats="0" applyFontFormats="0" applyPatternFormats="0" applyAlignmentFormats="0" applyWidthHeightFormats="0">
  <queryTableRefresh nextId="5">
    <queryTableFields count="4">
      <queryTableField id="1" name="Step" tableColumnId="1"/>
      <queryTableField id="2" name="행" tableColumnId="2"/>
      <queryTableField id="3" name="열" tableColumnId="3"/>
      <queryTableField id="4" name="누적거리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D90FC0E-5B2A-4E18-9C97-CCA313B26BB1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C11F0607-4EBC-48E9-BB16-1081D994CC12}" autoFormatId="16" applyNumberFormats="0" applyBorderFormats="0" applyFontFormats="0" applyPatternFormats="0" applyAlignmentFormats="0" applyWidthHeightFormats="0">
  <queryTableRefresh nextId="5">
    <queryTableFields count="4">
      <queryTableField id="1" name="Step" tableColumnId="1"/>
      <queryTableField id="2" name="행" tableColumnId="2"/>
      <queryTableField id="3" name="열" tableColumnId="3"/>
      <queryTableField id="4" name="누적거리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3BDAB2-7C7C-4B17-9641-7CBE2E950413}" name="Astar_path" displayName="Astar_path" ref="A1:D7" tableType="queryTable" totalsRowShown="0">
  <autoFilter ref="A1:D7" xr:uid="{293BDAB2-7C7C-4B17-9641-7CBE2E950413}"/>
  <tableColumns count="4">
    <tableColumn id="1" xr3:uid="{B792EFCF-7BAF-4D58-AC95-C39AE1EC875B}" uniqueName="1" name="Step" queryTableFieldId="1"/>
    <tableColumn id="2" xr3:uid="{D555FF02-FB80-4759-ACF9-209591BA8811}" uniqueName="2" name="행" queryTableFieldId="2"/>
    <tableColumn id="3" xr3:uid="{A4339B7E-4E2C-4D1B-ADA8-94015E0E554A}" uniqueName="3" name="열" queryTableFieldId="3"/>
    <tableColumn id="4" xr3:uid="{7C3CE14B-B8A0-48DB-A419-A3BF3BEB001A}" uniqueName="4" name="누적거리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3F45189-C3F1-4A73-8CA6-E83C8D5E1595}" name="Astar_path__3" displayName="Astar_path__3" ref="A1:D9" tableType="queryTable" totalsRowShown="0">
  <autoFilter ref="A1:D9" xr:uid="{E3F45189-C3F1-4A73-8CA6-E83C8D5E1595}"/>
  <tableColumns count="4">
    <tableColumn id="1" xr3:uid="{0D0BD3BC-D133-4F9A-8210-1ACDA6BDB8E8}" uniqueName="1" name="Step" queryTableFieldId="1"/>
    <tableColumn id="2" xr3:uid="{A318A642-55FA-400F-99C3-42C5A8F98C53}" uniqueName="2" name="행" queryTableFieldId="2"/>
    <tableColumn id="3" xr3:uid="{F762F06F-6E0C-45D9-8528-87BEDFB5096A}" uniqueName="3" name="열" queryTableFieldId="3"/>
    <tableColumn id="4" xr3:uid="{04760DCC-F94F-4E64-9D4D-2910781E82C8}" uniqueName="4" name="누적거리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4F4031-8E5E-4DF0-8948-860A27C977CE}" name="Astar_grid__2" displayName="Astar_grid__2" ref="A1:H8" tableType="queryTable" totalsRowShown="0">
  <autoFilter ref="A1:H8" xr:uid="{834F4031-8E5E-4DF0-8948-860A27C977CE}"/>
  <tableColumns count="8">
    <tableColumn id="1" xr3:uid="{ED64E35F-E3CF-479C-A9C3-29CC4FE0A1E5}" uniqueName="1" name="Column1" queryTableFieldId="1"/>
    <tableColumn id="2" xr3:uid="{D6B9272A-455F-4DBF-809E-511D4ADE894E}" uniqueName="2" name="Column2" queryTableFieldId="2"/>
    <tableColumn id="3" xr3:uid="{B462FE44-7CDF-48A5-8FA5-59903B159223}" uniqueName="3" name="Column3" queryTableFieldId="3"/>
    <tableColumn id="4" xr3:uid="{2B320BBF-B63F-4336-86A3-439674E0995C}" uniqueName="4" name="Column4" queryTableFieldId="4"/>
    <tableColumn id="5" xr3:uid="{675D02D3-9C15-4618-9BC6-00DF54D483BA}" uniqueName="5" name="Column5" queryTableFieldId="5"/>
    <tableColumn id="6" xr3:uid="{4D642280-FB7A-4737-A291-708979AF3063}" uniqueName="6" name="Column6" queryTableFieldId="6"/>
    <tableColumn id="7" xr3:uid="{87D42F5E-0EF0-4622-AF0B-D294880ACD7B}" uniqueName="7" name="Column7" queryTableFieldId="7"/>
    <tableColumn id="8" xr3:uid="{42617AC2-61DC-443B-90C0-393B8628C13E}" uniqueName="8" name="Column8" queryTableFieldId="8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E8260B-46AB-4A95-81CB-994DB0CBD055}" name="Astar_path5" displayName="Astar_path5" ref="A12:D20" tableType="queryTable" totalsRowShown="0">
  <autoFilter ref="A12:D20" xr:uid="{10E8260B-46AB-4A95-81CB-994DB0CBD055}"/>
  <tableColumns count="4">
    <tableColumn id="1" xr3:uid="{BC2B3229-1F08-40B5-A5A7-74A69BFECA9A}" uniqueName="1" name="Step" queryTableFieldId="1"/>
    <tableColumn id="2" xr3:uid="{D3D434E1-B557-428C-BF04-8B385127FA2B}" uniqueName="2" name="행" queryTableFieldId="2"/>
    <tableColumn id="3" xr3:uid="{0FF691A9-678E-4AB7-8CE2-A2B609872742}" uniqueName="3" name="열" queryTableFieldId="3"/>
    <tableColumn id="4" xr3:uid="{DEF566DF-2F17-450E-950A-7BE864E1E34E}" uniqueName="4" name="누적거리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12DA3-8844-4AF1-A5E2-5D057710BAD4}">
  <dimension ref="A1:D7"/>
  <sheetViews>
    <sheetView workbookViewId="0">
      <selection activeCell="D7" sqref="A1:D7"/>
    </sheetView>
  </sheetViews>
  <sheetFormatPr defaultRowHeight="16.5" x14ac:dyDescent="0.3"/>
  <cols>
    <col min="1" max="1" width="7.625" bestFit="1" customWidth="1"/>
    <col min="2" max="3" width="5.625" bestFit="1" customWidth="1"/>
    <col min="4" max="4" width="11.25" bestFit="1" customWidth="1"/>
  </cols>
  <sheetData>
    <row r="1" spans="1:4" x14ac:dyDescent="0.3">
      <c r="A1" t="s">
        <v>9</v>
      </c>
      <c r="B1" t="s">
        <v>10</v>
      </c>
      <c r="C1" t="s">
        <v>11</v>
      </c>
      <c r="D1" t="s">
        <v>12</v>
      </c>
    </row>
    <row r="2" spans="1:4" x14ac:dyDescent="0.3">
      <c r="A2">
        <v>1</v>
      </c>
      <c r="B2">
        <v>0</v>
      </c>
      <c r="C2">
        <v>0</v>
      </c>
      <c r="D2">
        <v>0</v>
      </c>
    </row>
    <row r="3" spans="1:4" x14ac:dyDescent="0.3">
      <c r="A3">
        <v>2</v>
      </c>
      <c r="B3">
        <v>0</v>
      </c>
      <c r="C3">
        <v>1</v>
      </c>
      <c r="D3">
        <v>1</v>
      </c>
    </row>
    <row r="4" spans="1:4" x14ac:dyDescent="0.3">
      <c r="A4">
        <v>3</v>
      </c>
      <c r="B4">
        <v>1</v>
      </c>
      <c r="C4">
        <v>2</v>
      </c>
      <c r="D4">
        <v>2.4140000000000001</v>
      </c>
    </row>
    <row r="5" spans="1:4" x14ac:dyDescent="0.3">
      <c r="A5">
        <v>4</v>
      </c>
      <c r="B5">
        <v>2</v>
      </c>
      <c r="C5">
        <v>2</v>
      </c>
      <c r="D5">
        <v>3.4140000000000001</v>
      </c>
    </row>
    <row r="6" spans="1:4" x14ac:dyDescent="0.3">
      <c r="A6">
        <v>5</v>
      </c>
      <c r="B6">
        <v>3</v>
      </c>
      <c r="C6">
        <v>2</v>
      </c>
      <c r="D6">
        <v>4.4139999999999997</v>
      </c>
    </row>
    <row r="7" spans="1:4" x14ac:dyDescent="0.3">
      <c r="A7">
        <v>6</v>
      </c>
      <c r="B7">
        <v>4</v>
      </c>
      <c r="C7">
        <v>3</v>
      </c>
      <c r="D7">
        <v>5.8280000000000003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954E4-25AD-48F8-BC15-539CF5273668}">
  <dimension ref="A1:D9"/>
  <sheetViews>
    <sheetView workbookViewId="0">
      <selection activeCell="C34" sqref="C34"/>
    </sheetView>
  </sheetViews>
  <sheetFormatPr defaultRowHeight="16.5" x14ac:dyDescent="0.3"/>
  <cols>
    <col min="1" max="1" width="7.625" bestFit="1" customWidth="1"/>
    <col min="2" max="3" width="5.625" bestFit="1" customWidth="1"/>
    <col min="4" max="4" width="11.25" bestFit="1" customWidth="1"/>
  </cols>
  <sheetData>
    <row r="1" spans="1:4" x14ac:dyDescent="0.3">
      <c r="A1" t="s">
        <v>9</v>
      </c>
      <c r="B1" t="s">
        <v>10</v>
      </c>
      <c r="C1" t="s">
        <v>11</v>
      </c>
      <c r="D1" t="s">
        <v>12</v>
      </c>
    </row>
    <row r="2" spans="1:4" x14ac:dyDescent="0.3">
      <c r="A2">
        <v>1</v>
      </c>
      <c r="B2">
        <v>0</v>
      </c>
      <c r="C2">
        <v>0</v>
      </c>
      <c r="D2">
        <v>0</v>
      </c>
    </row>
    <row r="3" spans="1:4" x14ac:dyDescent="0.3">
      <c r="A3">
        <v>2</v>
      </c>
      <c r="B3">
        <v>0</v>
      </c>
      <c r="C3">
        <v>1</v>
      </c>
      <c r="D3">
        <v>1</v>
      </c>
    </row>
    <row r="4" spans="1:4" x14ac:dyDescent="0.3">
      <c r="A4">
        <v>3</v>
      </c>
      <c r="B4">
        <v>1</v>
      </c>
      <c r="C4">
        <v>2</v>
      </c>
      <c r="D4">
        <v>2.4140000000000001</v>
      </c>
    </row>
    <row r="5" spans="1:4" x14ac:dyDescent="0.3">
      <c r="A5">
        <v>4</v>
      </c>
      <c r="B5">
        <v>2</v>
      </c>
      <c r="C5">
        <v>2</v>
      </c>
      <c r="D5">
        <v>3.4140000000000001</v>
      </c>
    </row>
    <row r="6" spans="1:4" x14ac:dyDescent="0.3">
      <c r="A6">
        <v>5</v>
      </c>
      <c r="B6">
        <v>3</v>
      </c>
      <c r="C6">
        <v>3</v>
      </c>
      <c r="D6">
        <v>4.8280000000000003</v>
      </c>
    </row>
    <row r="7" spans="1:4" x14ac:dyDescent="0.3">
      <c r="A7">
        <v>6</v>
      </c>
      <c r="B7">
        <v>4</v>
      </c>
      <c r="C7">
        <v>3</v>
      </c>
      <c r="D7">
        <v>5.8280000000000003</v>
      </c>
    </row>
    <row r="8" spans="1:4" x14ac:dyDescent="0.3">
      <c r="A8">
        <v>7</v>
      </c>
      <c r="B8">
        <v>5</v>
      </c>
      <c r="C8">
        <v>4</v>
      </c>
      <c r="D8">
        <v>7.2430000000000003</v>
      </c>
    </row>
    <row r="9" spans="1:4" x14ac:dyDescent="0.3">
      <c r="A9">
        <v>8</v>
      </c>
      <c r="B9">
        <v>6</v>
      </c>
      <c r="C9">
        <v>4</v>
      </c>
      <c r="D9">
        <v>8.2430000000000003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1AAF8-0FC6-43F5-8A69-E6F8F91E60BB}">
  <dimension ref="A1:K49"/>
  <sheetViews>
    <sheetView tabSelected="1" workbookViewId="0">
      <selection activeCell="AA41" sqref="AA41"/>
    </sheetView>
  </sheetViews>
  <sheetFormatPr defaultColWidth="5.25" defaultRowHeight="16.5" x14ac:dyDescent="0.3"/>
  <cols>
    <col min="10" max="10" width="6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1" x14ac:dyDescent="0.3">
      <c r="A2">
        <v>0</v>
      </c>
      <c r="B2">
        <v>0</v>
      </c>
      <c r="C2">
        <v>0</v>
      </c>
      <c r="D2">
        <v>1</v>
      </c>
      <c r="E2">
        <v>0</v>
      </c>
      <c r="F2">
        <v>1</v>
      </c>
      <c r="G2">
        <v>0</v>
      </c>
      <c r="H2" s="1" t="s">
        <v>8</v>
      </c>
    </row>
    <row r="3" spans="1:11" x14ac:dyDescent="0.3">
      <c r="A3">
        <v>1</v>
      </c>
      <c r="B3">
        <v>1</v>
      </c>
      <c r="C3">
        <v>0</v>
      </c>
      <c r="D3">
        <v>1</v>
      </c>
      <c r="E3">
        <v>0</v>
      </c>
      <c r="F3">
        <v>1</v>
      </c>
      <c r="G3">
        <v>0</v>
      </c>
      <c r="H3" s="1" t="s">
        <v>8</v>
      </c>
    </row>
    <row r="4" spans="1:11" x14ac:dyDescent="0.3">
      <c r="A4">
        <v>0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 s="1" t="s">
        <v>8</v>
      </c>
    </row>
    <row r="5" spans="1:11" x14ac:dyDescent="0.3">
      <c r="A5">
        <v>0</v>
      </c>
      <c r="B5">
        <v>1</v>
      </c>
      <c r="C5">
        <v>0</v>
      </c>
      <c r="D5">
        <v>0</v>
      </c>
      <c r="E5">
        <v>1</v>
      </c>
      <c r="F5">
        <v>0</v>
      </c>
      <c r="G5">
        <v>0</v>
      </c>
      <c r="H5" s="1" t="s">
        <v>8</v>
      </c>
      <c r="J5" cm="1">
        <f t="array" ref="J5">IF(INDEX($A$2:$G$8,INT((ROW()-2)/7)+1,MOD(ROW()-2,7)+1)=1,MOD(ROW()-2,7),NA())</f>
        <v>3</v>
      </c>
      <c r="K5" cm="1">
        <f t="array" ref="K5">IF(INDEX($A$2:$G$8,INT((ROW()-2)/7)+1,MOD(ROW()-2,7)+1)=1,INT((ROW()-2)/7),NA())</f>
        <v>0</v>
      </c>
    </row>
    <row r="6" spans="1:11" x14ac:dyDescent="0.3">
      <c r="A6">
        <v>0</v>
      </c>
      <c r="B6">
        <v>1</v>
      </c>
      <c r="C6">
        <v>1</v>
      </c>
      <c r="D6">
        <v>0</v>
      </c>
      <c r="E6">
        <v>1</v>
      </c>
      <c r="F6">
        <v>1</v>
      </c>
      <c r="G6">
        <v>0</v>
      </c>
      <c r="H6" s="1" t="s">
        <v>8</v>
      </c>
    </row>
    <row r="7" spans="1:11" x14ac:dyDescent="0.3">
      <c r="A7">
        <v>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 s="1" t="s">
        <v>8</v>
      </c>
      <c r="J7" cm="1">
        <f t="array" ref="J7">IF(INDEX($A$2:$G$8,INT((ROW()-2)/7)+1,MOD(ROW()-2,7)+1)=1,MOD(ROW()-2,7),NA())</f>
        <v>5</v>
      </c>
      <c r="K7" cm="1">
        <f t="array" ref="K7">IF(INDEX($A$2:$G$8,INT((ROW()-2)/7)+1,MOD(ROW()-2,7)+1)=1,INT((ROW()-2)/7),NA())</f>
        <v>0</v>
      </c>
    </row>
    <row r="8" spans="1:11" x14ac:dyDescent="0.3">
      <c r="A8">
        <v>0</v>
      </c>
      <c r="B8">
        <v>0</v>
      </c>
      <c r="C8">
        <v>0</v>
      </c>
      <c r="D8">
        <v>1</v>
      </c>
      <c r="E8">
        <v>0</v>
      </c>
      <c r="F8">
        <v>1</v>
      </c>
      <c r="G8">
        <v>0</v>
      </c>
      <c r="H8" s="1" t="s">
        <v>8</v>
      </c>
    </row>
    <row r="9" spans="1:11" x14ac:dyDescent="0.3">
      <c r="J9" cm="1">
        <f t="array" ref="J9">IF(INDEX($A$2:$G$8,INT((ROW()-2)/7)+1,MOD(ROW()-2,7)+1)=1,MOD(ROW()-2,7),NA())</f>
        <v>0</v>
      </c>
      <c r="K9" cm="1">
        <f t="array" ref="K9">IF(INDEX($A$2:$G$8,INT((ROW()-2)/7)+1,MOD(ROW()-2,7)+1)=1,INT((ROW()-2)/7),NA())</f>
        <v>1</v>
      </c>
    </row>
    <row r="10" spans="1:11" x14ac:dyDescent="0.3">
      <c r="J10" cm="1">
        <f t="array" ref="J10">IF(INDEX($A$2:$G$8,INT((ROW()-2)/7)+1,MOD(ROW()-2,7)+1)=1,MOD(ROW()-2,7),NA())</f>
        <v>1</v>
      </c>
      <c r="K10" cm="1">
        <f t="array" ref="K10">IF(INDEX($A$2:$G$8,INT((ROW()-2)/7)+1,MOD(ROW()-2,7)+1)=1,INT((ROW()-2)/7),NA())</f>
        <v>1</v>
      </c>
    </row>
    <row r="11" spans="1:11" x14ac:dyDescent="0.3">
      <c r="F11" t="s">
        <v>13</v>
      </c>
    </row>
    <row r="12" spans="1:11" x14ac:dyDescent="0.3">
      <c r="A12" t="s">
        <v>9</v>
      </c>
      <c r="B12" t="s">
        <v>10</v>
      </c>
      <c r="C12" t="s">
        <v>11</v>
      </c>
      <c r="D12" t="s">
        <v>12</v>
      </c>
      <c r="F12" t="s">
        <v>14</v>
      </c>
      <c r="G12" t="s">
        <v>15</v>
      </c>
      <c r="J12" cm="1">
        <f t="array" ref="J12">IF(INDEX($A$2:$G$8,INT((ROW()-2)/7)+1,MOD(ROW()-2,7)+1)=1,MOD(ROW()-2,7),NA())</f>
        <v>3</v>
      </c>
      <c r="K12" cm="1">
        <f t="array" ref="K12">IF(INDEX($A$2:$G$8,INT((ROW()-2)/7)+1,MOD(ROW()-2,7)+1)=1,INT((ROW()-2)/7),NA())</f>
        <v>1</v>
      </c>
    </row>
    <row r="13" spans="1:11" x14ac:dyDescent="0.3">
      <c r="A13">
        <v>1</v>
      </c>
      <c r="B13">
        <v>0</v>
      </c>
      <c r="C13">
        <v>0</v>
      </c>
      <c r="D13">
        <v>0</v>
      </c>
      <c r="F13">
        <v>0</v>
      </c>
      <c r="G13">
        <v>1</v>
      </c>
    </row>
    <row r="14" spans="1:11" x14ac:dyDescent="0.3">
      <c r="A14">
        <v>2</v>
      </c>
      <c r="B14">
        <v>0</v>
      </c>
      <c r="C14">
        <v>1</v>
      </c>
      <c r="D14">
        <v>1</v>
      </c>
      <c r="F14">
        <v>1</v>
      </c>
      <c r="G14">
        <v>1</v>
      </c>
      <c r="J14" cm="1">
        <f t="array" ref="J14">IF(INDEX($A$2:$G$8,INT((ROW()-2)/7)+1,MOD(ROW()-2,7)+1)=1,MOD(ROW()-2,7),NA())</f>
        <v>5</v>
      </c>
      <c r="K14" cm="1">
        <f t="array" ref="K14">IF(INDEX($A$2:$G$8,INT((ROW()-2)/7)+1,MOD(ROW()-2,7)+1)=1,INT((ROW()-2)/7),NA())</f>
        <v>1</v>
      </c>
    </row>
    <row r="15" spans="1:11" x14ac:dyDescent="0.3">
      <c r="A15">
        <v>3</v>
      </c>
      <c r="B15">
        <v>1</v>
      </c>
      <c r="C15">
        <v>2</v>
      </c>
      <c r="D15">
        <v>2.4140000000000001</v>
      </c>
      <c r="F15">
        <v>1</v>
      </c>
      <c r="G15">
        <v>3</v>
      </c>
    </row>
    <row r="16" spans="1:11" x14ac:dyDescent="0.3">
      <c r="A16">
        <v>4</v>
      </c>
      <c r="B16">
        <v>2</v>
      </c>
      <c r="C16">
        <v>2</v>
      </c>
      <c r="D16">
        <v>3.4140000000000001</v>
      </c>
      <c r="F16">
        <v>1</v>
      </c>
      <c r="G16">
        <v>4</v>
      </c>
    </row>
    <row r="17" spans="1:11" x14ac:dyDescent="0.3">
      <c r="A17">
        <v>5</v>
      </c>
      <c r="B17">
        <v>3</v>
      </c>
      <c r="C17">
        <v>3</v>
      </c>
      <c r="D17">
        <v>4.8280000000000003</v>
      </c>
      <c r="F17">
        <v>2</v>
      </c>
      <c r="G17">
        <v>4</v>
      </c>
    </row>
    <row r="18" spans="1:11" x14ac:dyDescent="0.3">
      <c r="A18">
        <v>6</v>
      </c>
      <c r="B18">
        <v>4</v>
      </c>
      <c r="C18">
        <v>3</v>
      </c>
      <c r="D18">
        <v>5.8280000000000003</v>
      </c>
      <c r="F18">
        <v>3</v>
      </c>
      <c r="G18">
        <v>0</v>
      </c>
    </row>
    <row r="19" spans="1:11" x14ac:dyDescent="0.3">
      <c r="A19">
        <v>7</v>
      </c>
      <c r="B19">
        <v>5</v>
      </c>
      <c r="C19">
        <v>4</v>
      </c>
      <c r="D19">
        <v>7.2430000000000003</v>
      </c>
      <c r="F19">
        <v>3</v>
      </c>
      <c r="G19">
        <v>1</v>
      </c>
    </row>
    <row r="20" spans="1:11" x14ac:dyDescent="0.3">
      <c r="A20">
        <v>8</v>
      </c>
      <c r="B20">
        <v>6</v>
      </c>
      <c r="C20">
        <v>4</v>
      </c>
      <c r="D20">
        <v>8.2430000000000003</v>
      </c>
      <c r="F20">
        <v>3</v>
      </c>
      <c r="G20">
        <v>6</v>
      </c>
    </row>
    <row r="21" spans="1:11" x14ac:dyDescent="0.3">
      <c r="F21">
        <v>4</v>
      </c>
      <c r="G21">
        <v>3</v>
      </c>
      <c r="J21" cm="1">
        <f t="array" ref="J21">IF(INDEX($A$2:$G$8,INT((ROW()-2)/7)+1,MOD(ROW()-2,7)+1)=1,MOD(ROW()-2,7),NA())</f>
        <v>5</v>
      </c>
      <c r="K21" cm="1">
        <f t="array" ref="K21">IF(INDEX($A$2:$G$8,INT((ROW()-2)/7)+1,MOD(ROW()-2,7)+1)=1,INT((ROW()-2)/7),NA())</f>
        <v>2</v>
      </c>
    </row>
    <row r="22" spans="1:11" x14ac:dyDescent="0.3">
      <c r="F22">
        <v>4</v>
      </c>
      <c r="G22">
        <v>4</v>
      </c>
    </row>
    <row r="23" spans="1:11" x14ac:dyDescent="0.3">
      <c r="F23">
        <v>5</v>
      </c>
      <c r="G23">
        <v>0</v>
      </c>
    </row>
    <row r="24" spans="1:11" x14ac:dyDescent="0.3">
      <c r="F24">
        <v>5</v>
      </c>
      <c r="G24">
        <v>1</v>
      </c>
      <c r="J24" cm="1">
        <f t="array" ref="J24">IF(INDEX($A$2:$G$8,INT((ROW()-2)/7)+1,MOD(ROW()-2,7)+1)=1,MOD(ROW()-2,7),NA())</f>
        <v>1</v>
      </c>
      <c r="K24" cm="1">
        <f t="array" ref="K24">IF(INDEX($A$2:$G$8,INT((ROW()-2)/7)+1,MOD(ROW()-2,7)+1)=1,INT((ROW()-2)/7),NA())</f>
        <v>3</v>
      </c>
    </row>
    <row r="25" spans="1:11" x14ac:dyDescent="0.3">
      <c r="F25">
        <v>5</v>
      </c>
      <c r="G25">
        <v>2</v>
      </c>
    </row>
    <row r="26" spans="1:11" x14ac:dyDescent="0.3">
      <c r="F26">
        <v>5</v>
      </c>
      <c r="G26">
        <v>4</v>
      </c>
    </row>
    <row r="27" spans="1:11" x14ac:dyDescent="0.3">
      <c r="F27">
        <v>5</v>
      </c>
      <c r="G27">
        <v>6</v>
      </c>
      <c r="J27" cm="1">
        <f t="array" ref="J27">IF(INDEX($A$2:$G$8,INT((ROW()-2)/7)+1,MOD(ROW()-2,7)+1)=1,MOD(ROW()-2,7),NA())</f>
        <v>4</v>
      </c>
      <c r="K27" cm="1">
        <f t="array" ref="K27">IF(INDEX($A$2:$G$8,INT((ROW()-2)/7)+1,MOD(ROW()-2,7)+1)=1,INT((ROW()-2)/7),NA())</f>
        <v>3</v>
      </c>
    </row>
    <row r="31" spans="1:11" x14ac:dyDescent="0.3">
      <c r="J31" cm="1">
        <f t="array" ref="J31">IF(INDEX($A$2:$G$8,INT((ROW()-2)/7)+1,MOD(ROW()-2,7)+1)=1,MOD(ROW()-2,7),NA())</f>
        <v>1</v>
      </c>
      <c r="K31" cm="1">
        <f t="array" ref="K31">IF(INDEX($A$2:$G$8,INT((ROW()-2)/7)+1,MOD(ROW()-2,7)+1)=1,INT((ROW()-2)/7),NA())</f>
        <v>4</v>
      </c>
    </row>
    <row r="32" spans="1:11" x14ac:dyDescent="0.3">
      <c r="J32" cm="1">
        <f t="array" ref="J32">IF(INDEX($A$2:$G$8,INT((ROW()-2)/7)+1,MOD(ROW()-2,7)+1)=1,MOD(ROW()-2,7),NA())</f>
        <v>2</v>
      </c>
      <c r="K32" cm="1">
        <f t="array" ref="K32">IF(INDEX($A$2:$G$8,INT((ROW()-2)/7)+1,MOD(ROW()-2,7)+1)=1,INT((ROW()-2)/7),NA())</f>
        <v>4</v>
      </c>
    </row>
    <row r="34" spans="10:11" x14ac:dyDescent="0.3">
      <c r="J34" cm="1">
        <f t="array" ref="J34">IF(INDEX($A$2:$G$8,INT((ROW()-2)/7)+1,MOD(ROW()-2,7)+1)=1,MOD(ROW()-2,7),NA())</f>
        <v>4</v>
      </c>
      <c r="K34" cm="1">
        <f t="array" ref="K34">IF(INDEX($A$2:$G$8,INT((ROW()-2)/7)+1,MOD(ROW()-2,7)+1)=1,INT((ROW()-2)/7),NA())</f>
        <v>4</v>
      </c>
    </row>
    <row r="35" spans="10:11" x14ac:dyDescent="0.3">
      <c r="J35" cm="1">
        <f t="array" ref="J35">IF(INDEX($A$2:$G$8,INT((ROW()-2)/7)+1,MOD(ROW()-2,7)+1)=1,MOD(ROW()-2,7),NA())</f>
        <v>5</v>
      </c>
      <c r="K35" cm="1">
        <f t="array" ref="K35">IF(INDEX($A$2:$G$8,INT((ROW()-2)/7)+1,MOD(ROW()-2,7)+1)=1,INT((ROW()-2)/7),NA())</f>
        <v>4</v>
      </c>
    </row>
    <row r="38" spans="10:11" x14ac:dyDescent="0.3">
      <c r="J38" cm="1">
        <f t="array" ref="J38">IF(INDEX($A$2:$G$8,INT((ROW()-2)/7)+1,MOD(ROW()-2,7)+1)=1,MOD(ROW()-2,7),NA())</f>
        <v>1</v>
      </c>
      <c r="K38" cm="1">
        <f t="array" ref="K38">IF(INDEX($A$2:$G$8,INT((ROW()-2)/7)+1,MOD(ROW()-2,7)+1)=1,INT((ROW()-2)/7),NA())</f>
        <v>5</v>
      </c>
    </row>
    <row r="47" spans="10:11" x14ac:dyDescent="0.3">
      <c r="J47" cm="1">
        <f t="array" ref="J47">IF(INDEX($A$2:$G$8,INT((ROW()-2)/7)+1,MOD(ROW()-2,7)+1)=1,MOD(ROW()-2,7),NA())</f>
        <v>3</v>
      </c>
      <c r="K47" cm="1">
        <f t="array" ref="K47">IF(INDEX($A$2:$G$8,INT((ROW()-2)/7)+1,MOD(ROW()-2,7)+1)=1,INT((ROW()-2)/7),NA())</f>
        <v>6</v>
      </c>
    </row>
    <row r="49" spans="10:11" x14ac:dyDescent="0.3">
      <c r="J49" cm="1">
        <f t="array" ref="J49">IF(INDEX($A$2:$G$8,INT((ROW()-2)/7)+1,MOD(ROW()-2,7)+1)=1,MOD(ROW()-2,7),NA())</f>
        <v>5</v>
      </c>
      <c r="K49" cm="1">
        <f t="array" ref="K49">IF(INDEX($A$2:$G$8,INT((ROW()-2)/7)+1,MOD(ROW()-2,7)+1)=1,INT((ROW()-2)/7),NA())</f>
        <v>6</v>
      </c>
    </row>
  </sheetData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AF3D-B8A1-4376-957E-922AD6ACC621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BAACE1-52A1-4063-BF19-98458192CA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Astar_path</vt:lpstr>
      <vt:lpstr>Astar_path (3)</vt:lpstr>
      <vt:lpstr>Astar_grid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예림 공</dc:creator>
  <cp:lastModifiedBy>예림 공</cp:lastModifiedBy>
  <dcterms:created xsi:type="dcterms:W3CDTF">2026-10-08T18:35:50Z</dcterms:created>
  <dcterms:modified xsi:type="dcterms:W3CDTF">2026-10-08T19:59:12Z</dcterms:modified>
</cp:coreProperties>
</file>