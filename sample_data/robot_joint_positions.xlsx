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관절위치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Noto Sans CJK SC"/>
            <family val="2"/>
          </rPr>
          <t xml:space="preserve">파란 글씨</t>
        </r>
        <r>
          <rPr>
            <sz val="10"/>
            <rFont val="Arial"/>
            <family val="2"/>
          </rPr>
          <t xml:space="preserve">(B2:G4)</t>
        </r>
        <r>
          <rPr>
            <sz val="10"/>
            <rFont val="Noto Sans CJK SC"/>
            <family val="2"/>
          </rPr>
          <t xml:space="preserve">는 입력값입니다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바꾸면 계산표와 그래프가 함께 갱신됩니다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<sst xmlns="http://schemas.openxmlformats.org/spreadsheetml/2006/main" count="28" uniqueCount="24">
  <si>
    <t xml:space="preserve">자세</t>
  </si>
  <si>
    <t xml:space="preserve">Px0(m)</t>
  </si>
  <si>
    <t xml:space="preserve">Py0(m)</t>
  </si>
  <si>
    <t xml:space="preserve">Px1(m)</t>
  </si>
  <si>
    <t xml:space="preserve">Py1(m)</t>
  </si>
  <si>
    <t xml:space="preserve">Px2(m)</t>
  </si>
  <si>
    <t xml:space="preserve">Py2(m)</t>
  </si>
  <si>
    <r>
      <rPr>
        <b val="true"/>
        <sz val="11"/>
        <rFont val="Noto Sans CJK SC"/>
        <family val="2"/>
      </rPr>
      <t xml:space="preserve">자세 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</si>
  <si>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자세 </t>
    </r>
    <r>
      <rPr>
        <b val="true"/>
        <sz val="11"/>
        <rFont val="Arial"/>
        <family val="0"/>
        <charset val="1"/>
      </rPr>
      <t xml:space="preserve">2</t>
    </r>
  </si>
  <si>
    <r>
      <rPr>
        <b val="true"/>
        <sz val="11"/>
        <rFont val="Noto Sans CJK SC"/>
        <family val="2"/>
      </rPr>
      <t xml:space="preserve">자세 </t>
    </r>
    <r>
      <rPr>
        <b val="true"/>
        <sz val="11"/>
        <rFont val="Arial"/>
        <family val="0"/>
        <charset val="1"/>
      </rPr>
      <t xml:space="preserve">3</t>
    </r>
  </si>
  <si>
    <t xml:space="preserve">점</t>
  </si>
  <si>
    <r>
      <rPr>
        <b val="true"/>
        <sz val="11"/>
        <color rgb="FFFFFFFF"/>
        <rFont val="Noto Sans CJK SC"/>
        <family val="2"/>
      </rPr>
      <t xml:space="preserve">자세</t>
    </r>
    <r>
      <rPr>
        <b val="true"/>
        <sz val="11"/>
        <color rgb="FFFFFFFF"/>
        <rFont val="Arial"/>
        <family val="0"/>
        <charset val="1"/>
      </rPr>
      <t xml:space="preserve">1 X</t>
    </r>
  </si>
  <si>
    <r>
      <rPr>
        <b val="true"/>
        <sz val="11"/>
        <color rgb="FFFFFFFF"/>
        <rFont val="Noto Sans CJK SC"/>
        <family val="2"/>
      </rPr>
      <t xml:space="preserve">자세</t>
    </r>
    <r>
      <rPr>
        <b val="true"/>
        <sz val="11"/>
        <color rgb="FFFFFFFF"/>
        <rFont val="Arial"/>
        <family val="0"/>
        <charset val="1"/>
      </rPr>
      <t xml:space="preserve">1 Y</t>
    </r>
  </si>
  <si>
    <r>
      <rPr>
        <b val="true"/>
        <sz val="11"/>
        <color rgb="FFFFFFFF"/>
        <rFont val="Noto Sans CJK SC"/>
        <family val="2"/>
      </rPr>
      <t xml:space="preserve">자세</t>
    </r>
    <r>
      <rPr>
        <b val="true"/>
        <sz val="11"/>
        <color rgb="FFFFFFFF"/>
        <rFont val="Arial"/>
        <family val="0"/>
        <charset val="1"/>
      </rPr>
      <t xml:space="preserve">2 X</t>
    </r>
  </si>
  <si>
    <r>
      <rPr>
        <b val="true"/>
        <sz val="11"/>
        <color rgb="FFFFFFFF"/>
        <rFont val="Noto Sans CJK SC"/>
        <family val="2"/>
      </rPr>
      <t xml:space="preserve">자세</t>
    </r>
    <r>
      <rPr>
        <b val="true"/>
        <sz val="11"/>
        <color rgb="FFFFFFFF"/>
        <rFont val="Arial"/>
        <family val="0"/>
        <charset val="1"/>
      </rPr>
      <t xml:space="preserve">2 Y</t>
    </r>
  </si>
  <si>
    <r>
      <rPr>
        <b val="true"/>
        <sz val="11"/>
        <color rgb="FFFFFFFF"/>
        <rFont val="Noto Sans CJK SC"/>
        <family val="2"/>
      </rPr>
      <t xml:space="preserve">자세</t>
    </r>
    <r>
      <rPr>
        <b val="true"/>
        <sz val="11"/>
        <color rgb="FFFFFFFF"/>
        <rFont val="Arial"/>
        <family val="0"/>
        <charset val="1"/>
      </rPr>
      <t xml:space="preserve">3 X</t>
    </r>
  </si>
  <si>
    <r>
      <rPr>
        <b val="true"/>
        <sz val="11"/>
        <color rgb="FFFFFFFF"/>
        <rFont val="Noto Sans CJK SC"/>
        <family val="2"/>
      </rPr>
      <t xml:space="preserve">자세</t>
    </r>
    <r>
      <rPr>
        <b val="true"/>
        <sz val="11"/>
        <color rgb="FFFFFFFF"/>
        <rFont val="Arial"/>
        <family val="0"/>
        <charset val="1"/>
      </rPr>
      <t xml:space="preserve">3 Y</t>
    </r>
  </si>
  <si>
    <r>
      <rPr>
        <b val="true"/>
        <sz val="11"/>
        <rFont val="Arial"/>
        <family val="0"/>
        <charset val="1"/>
      </rPr>
      <t xml:space="preserve">P0 </t>
    </r>
    <r>
      <rPr>
        <b val="true"/>
        <sz val="11"/>
        <rFont val="Noto Sans CJK SC"/>
        <family val="2"/>
      </rPr>
      <t xml:space="preserve">베이스</t>
    </r>
  </si>
  <si>
    <r>
      <rPr>
        <b val="true"/>
        <sz val="11"/>
        <rFont val="Arial"/>
        <family val="0"/>
        <charset val="1"/>
      </rPr>
      <t xml:space="preserve">P1 </t>
    </r>
    <r>
      <rPr>
        <b val="true"/>
        <sz val="11"/>
        <rFont val="Noto Sans CJK SC"/>
        <family val="2"/>
      </rPr>
      <t xml:space="preserve">관절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</si>
  <si>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Arial"/>
        <family val="0"/>
        <charset val="1"/>
      </rPr>
      <t xml:space="preserve">P2 </t>
    </r>
    <r>
      <rPr>
        <b val="true"/>
        <sz val="11"/>
        <rFont val="Noto Sans CJK SC"/>
        <family val="2"/>
      </rPr>
      <t xml:space="preserve">끝단</t>
    </r>
  </si>
  <si>
    <t xml:space="preserve">L1 (m)</t>
  </si>
  <si>
    <t xml:space="preserve">L2 (m)</t>
  </si>
  <si>
    <t xml:space="preserve">θ1 (°)</t>
  </si>
  <si>
    <r>
      <rPr>
        <b val="true"/>
        <sz val="11"/>
        <color rgb="FFFFFFFF"/>
        <rFont val="Arial"/>
        <family val="0"/>
        <charset val="1"/>
      </rPr>
      <t xml:space="preserve">θ2 </t>
    </r>
    <r>
      <rPr>
        <b val="true"/>
        <sz val="11"/>
        <color rgb="FFFFFFFF"/>
        <rFont val="Noto Sans CJK SC"/>
        <family val="2"/>
      </rPr>
      <t xml:space="preserve">상대 </t>
    </r>
    <r>
      <rPr>
        <b val="true"/>
        <sz val="11"/>
        <color rgb="FFFFFFFF"/>
        <rFont val="Arial"/>
        <family val="0"/>
        <charset val="1"/>
      </rPr>
      <t xml:space="preserve">(°)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</si>
</sst>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0"/>
      <name val="Noto Sans CJK SC"/>
      <family val="2"/>
    </font>
    <font>
      <sz val="10"/>
      <name val="Arial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0AD47"/>
        <bgColor rgb="FF878787"/>
      </patternFill>
    </fill>
    <fill>
      <patternFill patternType="solid">
        <fgColor rgb="FF4472C4"/>
        <bgColor rgb="FF2A78D6"/>
      </patternFill>
    </fill>
    <fill>
      <patternFill patternType="solid">
        <fgColor rgb="FFA5A5A5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70AD47"/>
      <rgbColor rgb="FFFFCC00"/>
      <rgbColor rgb="FFFF9900"/>
      <rgbColor rgb="FFEB6834"/>
      <rgbColor rgb="FF4472C4"/>
      <rgbColor rgb="FFA5A5A5"/>
      <rgbColor rgb="FF003366"/>
      <rgbColor rgb="FF1BAF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로봇 관절 위치 (2링크)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"자세 1"</c:f>
              <c:strCache>
                <c:ptCount val="1"/>
                <c:pt idx="0">
                  <c:v>자세 1</c:v>
                </c:pt>
              </c:strCache>
            </c:strRef>
          </c:tx>
          <c:spPr>
            <a:solidFill>
              <a:srgbClr val="2a78d6"/>
            </a:solidFill>
            <a:ln w="28440">
              <a:solidFill>
                <a:srgbClr val="2a78d6"/>
              </a:solidFill>
              <a:round/>
            </a:ln>
          </c:spPr>
          <c:marker>
            <c:symbol val="circle"/>
            <c:size val="8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관절위치!$B$7:$B$9</c:f>
              <c:numCache>
                <c:formatCode>0.0000</c:formatCode>
                <c:ptCount val="3"/>
                <c:pt idx="0">
                  <c:v>0</c:v>
                </c:pt>
                <c:pt idx="1">
                  <c:v>0.7361</c:v>
                </c:pt>
                <c:pt idx="2">
                  <c:v>0.9044</c:v>
                </c:pt>
              </c:numCache>
            </c:numRef>
          </c:xVal>
          <c:yVal>
            <c:numRef>
              <c:f>관절위치!$C$7:$C$9</c:f>
              <c:numCache>
                <c:formatCode>0.0000</c:formatCode>
                <c:ptCount val="3"/>
                <c:pt idx="0">
                  <c:v>0</c:v>
                </c:pt>
                <c:pt idx="1">
                  <c:v>0.425</c:v>
                </c:pt>
                <c:pt idx="2">
                  <c:v>1.0529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"자세 2"</c:f>
              <c:strCache>
                <c:ptCount val="1"/>
                <c:pt idx="0">
                  <c:v>자세 2</c:v>
                </c:pt>
              </c:strCache>
            </c:strRef>
          </c:tx>
          <c:spPr>
            <a:solidFill>
              <a:srgbClr val="eb6834"/>
            </a:solidFill>
            <a:ln w="28440">
              <a:solidFill>
                <a:srgbClr val="eb6834"/>
              </a:solidFill>
              <a:prstDash val="dash"/>
              <a:round/>
            </a:ln>
          </c:spPr>
          <c:marker>
            <c:symbol val="square"/>
            <c:size val="8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관절위치!$D$7:$D$9</c:f>
              <c:numCache>
                <c:formatCode>0.0000</c:formatCode>
                <c:ptCount val="3"/>
                <c:pt idx="0">
                  <c:v>0</c:v>
                </c:pt>
                <c:pt idx="1">
                  <c:v>0.601</c:v>
                </c:pt>
                <c:pt idx="2">
                  <c:v>0.4328</c:v>
                </c:pt>
              </c:numCache>
            </c:numRef>
          </c:xVal>
          <c:yVal>
            <c:numRef>
              <c:f>관절위치!$E$7:$E$9</c:f>
              <c:numCache>
                <c:formatCode>0.0000</c:formatCode>
                <c:ptCount val="3"/>
                <c:pt idx="0">
                  <c:v>0</c:v>
                </c:pt>
                <c:pt idx="1">
                  <c:v>0.601</c:v>
                </c:pt>
                <c:pt idx="2">
                  <c:v>1.2289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"자세 3"</c:f>
              <c:strCache>
                <c:ptCount val="1"/>
                <c:pt idx="0">
                  <c:v>자세 3</c:v>
                </c:pt>
              </c:strCache>
            </c:strRef>
          </c:tx>
          <c:spPr>
            <a:solidFill>
              <a:srgbClr val="1baf7a"/>
            </a:solidFill>
            <a:ln w="28440">
              <a:solidFill>
                <a:srgbClr val="1baf7a"/>
              </a:solidFill>
              <a:prstDash val="sysDot"/>
              <a:round/>
            </a:ln>
          </c:spPr>
          <c:marker>
            <c:symbol val="triangle"/>
            <c:size val="8"/>
            <c:spPr>
              <a:solidFill>
                <a:srgbClr val="1baf7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관절위치!$F$7:$F$9</c:f>
              <c:numCache>
                <c:formatCode>0.0000</c:formatCode>
                <c:ptCount val="3"/>
                <c:pt idx="0">
                  <c:v>0</c:v>
                </c:pt>
                <c:pt idx="1">
                  <c:v>0.425</c:v>
                </c:pt>
                <c:pt idx="2">
                  <c:v>-0.1379</c:v>
                </c:pt>
              </c:numCache>
            </c:numRef>
          </c:xVal>
          <c:yVal>
            <c:numRef>
              <c:f>관절위치!$G$7:$G$9</c:f>
              <c:numCache>
                <c:formatCode>0.0000</c:formatCode>
                <c:ptCount val="3"/>
                <c:pt idx="0">
                  <c:v>0</c:v>
                </c:pt>
                <c:pt idx="1">
                  <c:v>0.7361</c:v>
                </c:pt>
                <c:pt idx="2">
                  <c:v>1.0611</c:v>
                </c:pt>
              </c:numCache>
            </c:numRef>
          </c:yVal>
          <c:smooth val="0"/>
        </c:ser>
        <c:axId val="82779266"/>
        <c:axId val="26304717"/>
      </c:scatterChart>
      <c:valAx>
        <c:axId val="82779266"/>
        <c:scaling>
          <c:orientation val="minMax"/>
          <c:max val="1.2"/>
          <c:min val="-0.4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04717"/>
        <c:crosses val="autoZero"/>
        <c:crossBetween val="midCat"/>
        <c:majorUnit val="0.2"/>
      </c:valAx>
      <c:valAx>
        <c:axId val="26304717"/>
        <c:scaling>
          <c:orientation val="minMax"/>
          <c:max val="1.4"/>
          <c:min val="-0.2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79266"/>
        <c:crosses val="autoZero"/>
        <c:crossBetween val="midCat"/>
        <c:majorUnit val="0.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16</xdr:col>
      <xdr:colOff>507600</xdr:colOff>
      <xdr:row>26</xdr:row>
      <xdr:rowOff>146160</xdr:rowOff>
    </xdr:to>
    <xdr:graphicFrame>
      <xdr:nvGraphicFramePr>
        <xdr:cNvPr id="0" name="Chart 1"/>
        <xdr:cNvGraphicFramePr/>
      </xdr:nvGraphicFramePr>
      <xdr:xfrm>
        <a:off x="6039000" y="0"/>
        <a:ext cx="539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7.15" hidden="false" customHeight="false" outlineLevel="0" collapsed="false">
      <c r="A2" s="3" t="s">
        <v>7</v>
      </c>
      <c r="B2" s="4" t="n">
        <v>0</v>
      </c>
      <c r="C2" s="4" t="n">
        <v>0</v>
      </c>
      <c r="D2" s="4" t="n">
        <v>0.7361</v>
      </c>
      <c r="E2" s="4" t="n">
        <v>0.425</v>
      </c>
      <c r="F2" s="4" t="n">
        <v>0.9044</v>
      </c>
      <c r="G2" s="4" t="n">
        <v>1.0529</v>
      </c>
    </row>
    <row r="3" customFormat="false" ht="17.15" hidden="false" customHeight="false" outlineLevel="0" collapsed="false">
      <c r="A3" s="3" t="s">
        <v>8</v>
      </c>
      <c r="B3" s="4" t="n">
        <v>0</v>
      </c>
      <c r="C3" s="4" t="n">
        <v>0</v>
      </c>
      <c r="D3" s="4" t="n">
        <v>0.601</v>
      </c>
      <c r="E3" s="4" t="n">
        <v>0.601</v>
      </c>
      <c r="F3" s="4" t="n">
        <v>0.4328</v>
      </c>
      <c r="G3" s="4" t="n">
        <v>1.2289</v>
      </c>
    </row>
    <row r="4" customFormat="false" ht="17.15" hidden="false" customHeight="false" outlineLevel="0" collapsed="false">
      <c r="A4" s="3" t="s">
        <v>9</v>
      </c>
      <c r="B4" s="4" t="n">
        <v>0</v>
      </c>
      <c r="C4" s="4" t="n">
        <v>0</v>
      </c>
      <c r="D4" s="4" t="n">
        <v>0.425</v>
      </c>
      <c r="E4" s="4" t="n">
        <v>0.7361</v>
      </c>
      <c r="F4" s="4" t="n">
        <v>-0.1379</v>
      </c>
      <c r="G4" s="4" t="n">
        <v>1.0611</v>
      </c>
    </row>
    <row r="6" customFormat="false" ht="17.15" hidden="false" customHeight="false" outlineLevel="0" collapsed="false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</row>
    <row r="7" customFormat="false" ht="17.15" hidden="false" customHeight="false" outlineLevel="0" collapsed="false">
      <c r="A7" s="6" t="s">
        <v>17</v>
      </c>
      <c r="B7" s="7" t="n">
        <f aca="false">B2</f>
        <v>0</v>
      </c>
      <c r="C7" s="7" t="n">
        <f aca="false">C2</f>
        <v>0</v>
      </c>
      <c r="D7" s="7" t="n">
        <f aca="false">B3</f>
        <v>0</v>
      </c>
      <c r="E7" s="7" t="n">
        <f aca="false">C3</f>
        <v>0</v>
      </c>
      <c r="F7" s="7" t="n">
        <f aca="false">B4</f>
        <v>0</v>
      </c>
      <c r="G7" s="7" t="n">
        <f aca="false">C4</f>
        <v>0</v>
      </c>
    </row>
    <row r="8" customFormat="false" ht="17.15" hidden="false" customHeight="false" outlineLevel="0" collapsed="false">
      <c r="A8" s="6" t="s">
        <v>18</v>
      </c>
      <c r="B8" s="7" t="n">
        <f aca="false">D2</f>
        <v>0.7361</v>
      </c>
      <c r="C8" s="7" t="n">
        <f aca="false">E2</f>
        <v>0.425</v>
      </c>
      <c r="D8" s="7" t="n">
        <f aca="false">D3</f>
        <v>0.601</v>
      </c>
      <c r="E8" s="7" t="n">
        <f aca="false">E3</f>
        <v>0.601</v>
      </c>
      <c r="F8" s="7" t="n">
        <f aca="false">D4</f>
        <v>0.425</v>
      </c>
      <c r="G8" s="7" t="n">
        <f aca="false">E4</f>
        <v>0.7361</v>
      </c>
    </row>
    <row r="9" customFormat="false" ht="17.15" hidden="false" customHeight="false" outlineLevel="0" collapsed="false">
      <c r="A9" s="6" t="s">
        <v>19</v>
      </c>
      <c r="B9" s="7" t="n">
        <f aca="false">F2</f>
        <v>0.9044</v>
      </c>
      <c r="C9" s="7" t="n">
        <f aca="false">G2</f>
        <v>1.0529</v>
      </c>
      <c r="D9" s="7" t="n">
        <f aca="false">F3</f>
        <v>0.4328</v>
      </c>
      <c r="E9" s="7" t="n">
        <f aca="false">G3</f>
        <v>1.2289</v>
      </c>
      <c r="F9" s="7" t="n">
        <f aca="false">F4</f>
        <v>-0.1379</v>
      </c>
      <c r="G9" s="7" t="n">
        <f aca="false">G4</f>
        <v>1.0611</v>
      </c>
    </row>
    <row r="12" customFormat="false" ht="17.15" hidden="false" customHeight="false" outlineLevel="0" collapsed="false">
      <c r="A12" s="8" t="s">
        <v>0</v>
      </c>
      <c r="B12" s="9" t="s">
        <v>20</v>
      </c>
      <c r="C12" s="9" t="s">
        <v>21</v>
      </c>
      <c r="D12" s="9" t="s">
        <v>22</v>
      </c>
      <c r="E12" s="9" t="s">
        <v>23</v>
      </c>
    </row>
    <row r="13" customFormat="false" ht="17.15" hidden="false" customHeight="false" outlineLevel="0" collapsed="false">
      <c r="A13" s="10" t="s">
        <v>7</v>
      </c>
      <c r="B13" s="7" t="n">
        <f aca="false">SQRT((D2-B2)^2+(E2-C2)^2)</f>
        <v>0.849981299794296</v>
      </c>
      <c r="C13" s="7" t="n">
        <f aca="false">SQRT((F2-D2)^2+(G2-E2)^2)</f>
        <v>0.65006407376504</v>
      </c>
      <c r="D13" s="11" t="n">
        <f aca="false">DEGREES(ATAN2(D2-B2,E2-C2))</f>
        <v>30.0007277808274</v>
      </c>
      <c r="E13" s="11" t="n">
        <f aca="false">DEGREES(ATAN2(F2-D2,G2-E2))-DEGREES(ATAN2(D2-B2,E2-C2))</f>
        <v>44.9946151356526</v>
      </c>
    </row>
    <row r="14" customFormat="false" ht="17.15" hidden="false" customHeight="false" outlineLevel="0" collapsed="false">
      <c r="A14" s="10" t="s">
        <v>8</v>
      </c>
      <c r="B14" s="7" t="n">
        <f aca="false">SQRT((D3-B3)^2+(E3-C3)^2)</f>
        <v>0.84994235098623</v>
      </c>
      <c r="C14" s="7" t="n">
        <f aca="false">SQRT((F3-D3)^2+(G3-E3)^2)</f>
        <v>0.650038191185718</v>
      </c>
      <c r="D14" s="11" t="n">
        <f aca="false">DEGREES(ATAN2(D3-B3,E3-C3))</f>
        <v>45</v>
      </c>
      <c r="E14" s="11" t="n">
        <f aca="false">DEGREES(ATAN2(F3-D3,G3-E3))-DEGREES(ATAN2(D3-B3,E3-C3))</f>
        <v>59.9961433886944</v>
      </c>
    </row>
    <row r="15" customFormat="false" ht="17.15" hidden="false" customHeight="false" outlineLevel="0" collapsed="false">
      <c r="A15" s="10" t="s">
        <v>9</v>
      </c>
      <c r="B15" s="7" t="n">
        <f aca="false">SQRT((D4-B4)^2+(E4-C4)^2)</f>
        <v>0.849981299794296</v>
      </c>
      <c r="C15" s="7" t="n">
        <f aca="false">SQRT((F4-D4)^2+(G4-E4)^2)</f>
        <v>0.649985699842697</v>
      </c>
      <c r="D15" s="11" t="n">
        <f aca="false">DEGREES(ATAN2(D4-B4,E4-C4))</f>
        <v>59.9992722191726</v>
      </c>
      <c r="E15" s="11" t="n">
        <f aca="false">DEGREES(ATAN2(F4-D4,G4-E4))-DEGREES(ATAN2(D4-B4,E4-C4))</f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2026-10-08T09:05:15Z</dcterms:created>
  <dc:creator>openpyxl</dc:creator>
  <dc:description/>
  <dc:language>en-US</dc:language>
  <cp:lastModifiedBy/>
  <dcterms:modified xsi:type="dcterms:W3CDTF">2026-10-08T18:05:19Z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